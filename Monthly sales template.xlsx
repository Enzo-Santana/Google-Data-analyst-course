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<sst xmlns="http://schemas.openxmlformats.org/spreadsheetml/2006/main" count="6" uniqueCount="6">
  <si>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Month</t>
  </si>
  <si>
    <t>Total Sales</t>
  </si>
  <si>
    <t>Sep - Nov -&gt;</t>
  </si>
  <si>
    <t>June - August -&gt;</t>
  </si>
  <si>
    <t>March -May -&gt;</t>
  </si>
  <si>
    <t>Dec - Feb -&gt;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</si>
</sst>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5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5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5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Sheet1!$A$2:$A$37</c:f>
            </c:strRef>
          </c:cat>
          <c:val>
            <c:numRef>
              <c:f>Sheet1!$B$2:$B$37</c:f>
              <c:numCache/>
            </c:numRef>
          </c:val>
          <c:smooth val="0"/>
        </c:ser>
        <c:axId val="457947216"/>
        <c:axId val="737118078"/>
      </c:lineChart>
      <c:catAx>
        <c:axId val="457947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118078"/>
      </c:catAx>
      <c:valAx>
        <c:axId val="737118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9472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5</xdr:row>
      <xdr:rowOff>95250</xdr:rowOff>
    </xdr:from>
    <xdr:ext cx="57816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44197.0</v>
      </c>
      <c r="B2" s="5">
        <v>57650.0</v>
      </c>
      <c r="C2" s="6" t="s">
        <v>2</v>
      </c>
      <c r="D2" s="7">
        <f>SUM(B10,B11,B12,B22,B23,B24,B34,B35,B36)</f>
        <v>417575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44228.0</v>
      </c>
      <c r="B3" s="5">
        <v>63950.0</v>
      </c>
      <c r="C3" s="6" t="s">
        <v>3</v>
      </c>
      <c r="D3" s="7">
        <f>(SUM(B7,B8,B9,B19,B20,B21,B31,B32,B33))</f>
        <v>326594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44259.0</v>
      </c>
      <c r="B4" s="5">
        <v>52350.0</v>
      </c>
      <c r="C4" s="8" t="s">
        <v>4</v>
      </c>
      <c r="D4" s="7">
        <f>(B4 + B5 + B6 + B16 + B17 + B18 + B28 + B29 + B30)</f>
        <v>442317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44290.0</v>
      </c>
      <c r="B5" s="5">
        <v>49750.0</v>
      </c>
      <c r="C5" s="6" t="s">
        <v>5</v>
      </c>
      <c r="D5" s="7">
        <f>SUM(B13,B14,B15,B25,B26,B27,B37,B2,B3)</f>
        <v>572904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44321.0</v>
      </c>
      <c r="B6" s="5">
        <v>42535.0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44352.0</v>
      </c>
      <c r="B7" s="5">
        <v>37800.0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44383.0</v>
      </c>
      <c r="B8" s="5">
        <v>36950.0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44414.0</v>
      </c>
      <c r="B9" s="5">
        <v>35125.0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44445.0</v>
      </c>
      <c r="B10" s="5">
        <v>38750.0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44476.0</v>
      </c>
      <c r="B11" s="5">
        <v>42035.0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44507.0</v>
      </c>
      <c r="B12" s="5">
        <v>48950.0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44538.0</v>
      </c>
      <c r="B13" s="5">
        <v>59850.0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44569.0</v>
      </c>
      <c r="B14" s="5">
        <v>65750.0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44600.0</v>
      </c>
      <c r="B15" s="5">
        <v>61255.0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44631.0</v>
      </c>
      <c r="B16" s="5">
        <v>51250.0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44662.0</v>
      </c>
      <c r="B17" s="5">
        <v>47530.0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44693.0</v>
      </c>
      <c r="B18" s="5">
        <v>41790.0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44724.0</v>
      </c>
      <c r="B19" s="5">
        <v>37140.0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44755.0</v>
      </c>
      <c r="B20" s="5">
        <v>36590.0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44786.0</v>
      </c>
      <c r="B21" s="5">
        <v>33540.0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44817.0</v>
      </c>
      <c r="B22" s="5">
        <v>44590.0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44848.0</v>
      </c>
      <c r="B23" s="5">
        <v>53950.0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44879.0</v>
      </c>
      <c r="B24" s="5">
        <v>58800.0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44910.0</v>
      </c>
      <c r="B25" s="5">
        <v>62540.0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44941.0</v>
      </c>
      <c r="B26" s="5">
        <v>65709.0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44972.0</v>
      </c>
      <c r="B27" s="5">
        <v>70450.0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45003.0</v>
      </c>
      <c r="B28" s="5">
        <v>61750.0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45034.0</v>
      </c>
      <c r="B29" s="5">
        <v>49750.0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45065.0</v>
      </c>
      <c r="B30" s="5">
        <v>45612.0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45096.0</v>
      </c>
      <c r="B31" s="5">
        <v>38710.0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45127.0</v>
      </c>
      <c r="B32" s="5">
        <v>35980.0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45158.0</v>
      </c>
      <c r="B33" s="5">
        <v>34759.0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45189.0</v>
      </c>
      <c r="B34" s="5">
        <v>37570.0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45220.0</v>
      </c>
      <c r="B35" s="5">
        <v>40950.0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45251.0</v>
      </c>
      <c r="B36" s="5">
        <v>51980.0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45282.0</v>
      </c>
      <c r="B37" s="5">
        <v>65750.0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9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9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